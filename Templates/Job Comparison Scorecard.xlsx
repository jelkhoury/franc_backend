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/>
  <mc:AlternateContent xmlns:mc="http://schemas.openxmlformats.org/markup-compatibility/2006">
    <mc:Choice Requires="x15">
      <x15ac:absPath xmlns:x15ac="http://schemas.microsoft.com/office/spreadsheetml/2010/11/ac" url="C:\Users\User\Desktop\FrancASP\franc_backend\Templates\"/>
    </mc:Choice>
  </mc:AlternateContent>
  <xr:revisionPtr revIDLastSave="0" documentId="13_ncr:1_{4D0D8BFB-C1FD-44DB-9160-660EA9704482}" xr6:coauthVersionLast="36" xr6:coauthVersionMax="47" xr10:uidLastSave="{00000000-0000-0000-0000-000000000000}"/>
  <bookViews>
    <workbookView xWindow="0" yWindow="0" windowWidth="23040" windowHeight="8940" xr2:uid="{00000000-000D-0000-FFFF-FFFF00000000}"/>
  </bookViews>
  <sheets>
    <sheet name="Scorecard" sheetId="15" r:id="rId1"/>
    <sheet name="D.V" sheetId="8" r:id="rId2"/>
  </sheets>
  <calcPr calcId="191029"/>
</workbook>
</file>

<file path=xl/calcChain.xml><?xml version="1.0" encoding="utf-8"?>
<calcChain xmlns="http://schemas.openxmlformats.org/spreadsheetml/2006/main">
  <c r="D6" i="15" l="1"/>
  <c r="F6" i="15" l="1"/>
  <c r="F7" i="15" l="1"/>
  <c r="F8" i="15"/>
  <c r="D7" i="15"/>
  <c r="D8" i="15"/>
  <c r="D14" i="15"/>
  <c r="F14" i="15"/>
  <c r="F41" i="15"/>
  <c r="F42" i="15"/>
  <c r="F43" i="15"/>
  <c r="F44" i="15"/>
  <c r="F45" i="15"/>
  <c r="F46" i="15"/>
  <c r="D41" i="15"/>
  <c r="D42" i="15"/>
  <c r="D43" i="15"/>
  <c r="D44" i="15"/>
  <c r="D45" i="15"/>
  <c r="D46" i="15"/>
  <c r="F24" i="15"/>
  <c r="F25" i="15"/>
  <c r="F26" i="15"/>
  <c r="F27" i="15"/>
  <c r="F28" i="15"/>
  <c r="F29" i="15"/>
  <c r="F30" i="15"/>
  <c r="F31" i="15"/>
  <c r="F32" i="15"/>
  <c r="F33" i="15"/>
  <c r="F34" i="15"/>
  <c r="D24" i="15"/>
  <c r="D25" i="15"/>
  <c r="D26" i="15"/>
  <c r="D27" i="15"/>
  <c r="D28" i="15"/>
  <c r="D29" i="15"/>
  <c r="D30" i="15"/>
  <c r="D31" i="15"/>
  <c r="D32" i="15"/>
  <c r="D33" i="15"/>
  <c r="D34" i="15"/>
  <c r="F17" i="15"/>
  <c r="F18" i="15"/>
  <c r="F19" i="15"/>
  <c r="F20" i="15"/>
  <c r="F21" i="15"/>
  <c r="D17" i="15"/>
  <c r="D18" i="15"/>
  <c r="D19" i="15"/>
  <c r="D20" i="15"/>
  <c r="D21" i="15"/>
  <c r="F11" i="15"/>
  <c r="F12" i="15"/>
  <c r="F13" i="15"/>
  <c r="F10" i="15"/>
  <c r="D11" i="15"/>
  <c r="D12" i="15"/>
  <c r="D13" i="15"/>
  <c r="D10" i="15"/>
  <c r="F38" i="15"/>
  <c r="D38" i="15"/>
  <c r="F40" i="15"/>
  <c r="F37" i="15"/>
  <c r="F36" i="15"/>
  <c r="F23" i="15"/>
  <c r="F16" i="15"/>
  <c r="D40" i="15"/>
  <c r="D37" i="15"/>
  <c r="D36" i="15"/>
  <c r="D23" i="15"/>
  <c r="D16" i="15"/>
  <c r="F47" i="15" l="1"/>
  <c r="D47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3" authorId="0" shapeId="0" xr:uid="{38A108AD-3DF6-8C4C-B528-226C2BFA9AC5}">
      <text>
        <r>
          <rPr>
            <b/>
            <sz val="10"/>
            <color rgb="FF000000"/>
            <rFont val="Tahoma"/>
            <family val="2"/>
          </rPr>
          <t>Fouad R. Abdallah: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Importance grade for me from 1 to 5 </t>
        </r>
      </text>
    </comment>
    <comment ref="C3" authorId="0" shapeId="0" xr:uid="{688C0AE5-D92D-5E4F-B3C2-9C004D296CD7}">
      <text>
        <r>
          <rPr>
            <b/>
            <sz val="10"/>
            <color rgb="FF000000"/>
            <rFont val="Tahoma"/>
            <family val="2"/>
          </rPr>
          <t>Fouad R. Abdallah: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Based on info gathered from Job offer A (or existing one)</t>
        </r>
      </text>
    </comment>
  </commentList>
</comments>
</file>

<file path=xl/sharedStrings.xml><?xml version="1.0" encoding="utf-8"?>
<sst xmlns="http://schemas.openxmlformats.org/spreadsheetml/2006/main" count="87" uniqueCount="53">
  <si>
    <t xml:space="preserve">Job Comparison Scorecard </t>
  </si>
  <si>
    <t>Mission, Vision, integrity.</t>
  </si>
  <si>
    <t xml:space="preserve">Match between job and my skills </t>
  </si>
  <si>
    <t>JOB A</t>
  </si>
  <si>
    <t xml:space="preserve">JOB B </t>
  </si>
  <si>
    <t>ELEMENT / CRITERIA</t>
  </si>
  <si>
    <t>(Potential Satisfaction /10) 
P.S</t>
  </si>
  <si>
    <t>Job B
Total Score /100
(O.I x P.S)</t>
  </si>
  <si>
    <t xml:space="preserve">Leadership opportunities </t>
  </si>
  <si>
    <t xml:space="preserve">Workload </t>
  </si>
  <si>
    <t>Job A
Total Score /100
(O.I.W x D.F.S)</t>
  </si>
  <si>
    <t>Decision Factor Score
 (1-5)
D.F.S</t>
  </si>
  <si>
    <t>Overall Importance Weight (1-5) *
O.I.W</t>
  </si>
  <si>
    <t xml:space="preserve">Telecommuting - remote work possibility </t>
  </si>
  <si>
    <t>Job responsibilities - Tasks (importance, experience)</t>
  </si>
  <si>
    <t xml:space="preserve">International vs Local company </t>
  </si>
  <si>
    <t>Overall impressions</t>
  </si>
  <si>
    <t>Bonus structure, if any</t>
  </si>
  <si>
    <t xml:space="preserve">Starting salary  </t>
  </si>
  <si>
    <t>Salary raise scheme, if any</t>
  </si>
  <si>
    <t xml:space="preserve">1. Salary </t>
  </si>
  <si>
    <t>2. Benefits &amp; Perks</t>
  </si>
  <si>
    <t>Retirement Plan - National Social Security Fund (NSSF)</t>
  </si>
  <si>
    <t xml:space="preserve">Life and Health Insurance </t>
  </si>
  <si>
    <t xml:space="preserve">Sick Leaves scheme &amp; Paid Time Off - PTO </t>
  </si>
  <si>
    <t>Perks : cell phone, internet bundle, …</t>
  </si>
  <si>
    <t xml:space="preserve">3. The Company </t>
  </si>
  <si>
    <t xml:space="preserve">Company's reputation </t>
  </si>
  <si>
    <t>4. The Job</t>
  </si>
  <si>
    <t>Match between job and life style</t>
  </si>
  <si>
    <t xml:space="preserve">Job security - stability </t>
  </si>
  <si>
    <t>Career Development - Advancement opportunities</t>
  </si>
  <si>
    <t>Match between job and career objectives (expectations - interest)</t>
  </si>
  <si>
    <t xml:space="preserve">Schedule flexibility </t>
  </si>
  <si>
    <t xml:space="preserve">Holidays </t>
  </si>
  <si>
    <t xml:space="preserve">5. Schedule </t>
  </si>
  <si>
    <t>6. Others</t>
  </si>
  <si>
    <t>Working hours (work-life balance)</t>
  </si>
  <si>
    <t xml:space="preserve">Company's size : policies, process and procedures. </t>
  </si>
  <si>
    <t>Company's culture : diversity, …</t>
  </si>
  <si>
    <t>Level of challenges opportunities</t>
  </si>
  <si>
    <t>Ability to implement new programs - innovation</t>
  </si>
  <si>
    <t xml:space="preserve">Job Location : distance from home </t>
  </si>
  <si>
    <t xml:space="preserve">Workplace environment </t>
  </si>
  <si>
    <t xml:space="preserve">Company's values alignment with my own values </t>
  </si>
  <si>
    <t>The management team : Director, … (leadership style)</t>
  </si>
  <si>
    <t>Professional Development (Learning) : training, workshops, …</t>
  </si>
  <si>
    <t>Employee privilege card, if any</t>
  </si>
  <si>
    <t xml:space="preserve">Prestige - Social rank </t>
  </si>
  <si>
    <t>Co-workers quality (supportive, flexible, …)</t>
  </si>
  <si>
    <t>Compare 2 typical days (by asking the hiring managers).</t>
  </si>
  <si>
    <t>Head</t>
  </si>
  <si>
    <t>Heart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</si>
</sst>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0"/>
      <color rgb="FF000000"/>
      <name val="Arial"/>
    </font>
    <font>
      <b/>
      <sz val="11.5"/>
      <color rgb="FFFFFFFF"/>
      <name val="Avenir Book"/>
      <family val="2"/>
    </font>
    <font>
      <sz val="10.5"/>
      <color rgb="FF000090"/>
      <name val="Avenir Book"/>
      <family val="2"/>
    </font>
    <font>
      <b/>
      <sz val="11"/>
      <color rgb="FFFFFFFF"/>
      <name val="Avenir Book"/>
      <family val="2"/>
    </font>
    <font>
      <b/>
      <sz val="11"/>
      <color rgb="FF002060"/>
      <name val="Avenir Book"/>
      <family val="2"/>
    </font>
    <font>
      <b/>
      <sz val="12"/>
      <color rgb="FF002060"/>
      <name val="Avenir Book"/>
      <family val="2"/>
    </font>
    <font>
      <b/>
      <sz val="11.5"/>
      <color rgb="FF002060"/>
      <name val="Avenir Book"/>
      <family val="2"/>
    </font>
    <font>
      <sz val="18"/>
      <color theme="0"/>
      <name val="Arial"/>
      <family val="2"/>
    </font>
    <font>
      <b/>
      <sz val="9"/>
      <color rgb="FF000000"/>
      <name val="Arial"/>
      <family val="2"/>
    </font>
    <font>
      <sz val="12"/>
      <color rgb="FF000000"/>
      <name val="Arial"/>
      <family val="2"/>
    </font>
    <font>
      <b/>
      <sz val="14"/>
      <color rgb="FF002060"/>
      <name val="Avenir Book"/>
      <family val="2"/>
    </font>
    <font>
      <sz val="10"/>
      <color rgb="FF002060"/>
      <name val="Avenir Book"/>
      <family val="2"/>
    </font>
    <font>
      <sz val="10.5"/>
      <color rgb="FF002060"/>
      <name val="Avenir Book"/>
      <family val="2"/>
    </font>
    <font>
      <b/>
      <sz val="8"/>
      <color rgb="FF002060"/>
      <name val="Avenir Book"/>
      <family val="2"/>
    </font>
    <font>
      <sz val="10"/>
      <color rgb="FF002060"/>
      <name val="Arial"/>
      <family val="2"/>
    </font>
    <font>
      <b/>
      <i/>
      <sz val="10"/>
      <color rgb="FF002060"/>
      <name val="Avenir Book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8"/>
      <color rgb="FF002060"/>
      <name val="Arial"/>
      <family val="2"/>
    </font>
    <font>
      <sz val="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" fillId="4" borderId="1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5" borderId="2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6" fillId="0" borderId="11" xfId="0" applyFont="1" applyBorder="1" applyAlignment="1">
      <alignment horizontal="center" vertical="center" wrapText="1"/>
    </xf>
    <xf numFmtId="0" fontId="14" fillId="0" borderId="0" xfId="0" applyFont="1"/>
    <xf numFmtId="0" fontId="0" fillId="2" borderId="0" xfId="0" applyFill="1" applyAlignment="1">
      <alignment horizontal="center"/>
    </xf>
    <xf numFmtId="0" fontId="12" fillId="0" borderId="3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164" fontId="7" fillId="0" borderId="0" xfId="0" applyNumberFormat="1" applyFont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10" fillId="5" borderId="2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B632-DA75-354C-AD2D-7D3F57FA3384}">
  <dimension ref="A1:H56"/>
  <sheetViews>
    <sheetView tabSelected="1" zoomScale="119" workbookViewId="0">
      <selection activeCell="D6" sqref="D6"/>
    </sheetView>
  </sheetViews>
  <sheetFormatPr defaultColWidth="11.5546875" defaultRowHeight="13.2"/>
  <cols>
    <col min="1" max="1" width="53.44140625" customWidth="1"/>
    <col min="2" max="2" width="18.77734375" style="6" customWidth="1"/>
    <col min="3" max="4" width="18.6640625" style="6" customWidth="1"/>
    <col min="5" max="5" width="18.6640625" customWidth="1"/>
    <col min="6" max="6" width="18.6640625" style="6" customWidth="1"/>
  </cols>
  <sheetData>
    <row r="1" spans="1:7" ht="40.049999999999997" customHeight="1" thickBot="1">
      <c r="A1" s="39" t="s">
        <v>0</v>
      </c>
      <c r="B1" s="40"/>
      <c r="C1" s="40"/>
      <c r="D1" s="40"/>
      <c r="E1" s="40"/>
      <c r="F1" s="41"/>
    </row>
    <row r="2" spans="1:7" ht="33" customHeight="1" thickBot="1">
      <c r="A2" s="44" t="s">
        <v>5</v>
      </c>
      <c r="B2" s="30"/>
      <c r="C2" s="42" t="s">
        <v>3</v>
      </c>
      <c r="D2" s="43"/>
      <c r="E2" s="42" t="s">
        <v>4</v>
      </c>
      <c r="F2" s="43"/>
    </row>
    <row r="3" spans="1:7" ht="58.05" customHeight="1" thickBot="1">
      <c r="A3" s="45"/>
      <c r="B3" s="24" t="s">
        <v>12</v>
      </c>
      <c r="C3" s="25" t="s">
        <v>11</v>
      </c>
      <c r="D3" s="26" t="s">
        <v>10</v>
      </c>
      <c r="E3" s="25" t="s">
        <v>6</v>
      </c>
      <c r="F3" s="26" t="s">
        <v>7</v>
      </c>
    </row>
    <row r="4" spans="1:7" ht="6" customHeight="1">
      <c r="A4" s="47"/>
      <c r="B4" s="48"/>
      <c r="C4" s="48"/>
      <c r="D4" s="48"/>
      <c r="E4" s="48"/>
      <c r="F4" s="49"/>
    </row>
    <row r="5" spans="1:7" ht="14.4">
      <c r="A5" s="4" t="s">
        <v>20</v>
      </c>
      <c r="B5" s="19"/>
      <c r="C5" s="16"/>
      <c r="D5" s="11"/>
      <c r="E5" s="7"/>
      <c r="F5" s="11"/>
    </row>
    <row r="6" spans="1:7" s="29" customFormat="1" ht="14.4">
      <c r="A6" s="31" t="s">
        <v>18</v>
      </c>
      <c r="B6" s="27"/>
      <c r="C6" s="28"/>
      <c r="D6" s="34">
        <f>B6*C6</f>
        <v>0</v>
      </c>
      <c r="E6" s="28"/>
      <c r="F6" s="34">
        <f t="shared" ref="F6" si="0">E6*B6</f>
        <v>0</v>
      </c>
      <c r="G6" s="36" t="s">
        <v>51</v>
      </c>
    </row>
    <row r="7" spans="1:7" s="29" customFormat="1" ht="14.4">
      <c r="A7" s="31" t="s">
        <v>19</v>
      </c>
      <c r="B7" s="27"/>
      <c r="C7" s="28"/>
      <c r="D7" s="34">
        <f t="shared" ref="D7:D8" si="1">B7*C7</f>
        <v>0</v>
      </c>
      <c r="E7" s="28"/>
      <c r="F7" s="34">
        <f t="shared" ref="F7:F8" si="2">E7*B7</f>
        <v>0</v>
      </c>
      <c r="G7" s="36" t="s">
        <v>51</v>
      </c>
    </row>
    <row r="8" spans="1:7" s="29" customFormat="1" ht="14.4">
      <c r="A8" s="31" t="s">
        <v>17</v>
      </c>
      <c r="B8" s="27"/>
      <c r="C8" s="28"/>
      <c r="D8" s="34">
        <f t="shared" si="1"/>
        <v>0</v>
      </c>
      <c r="E8" s="28"/>
      <c r="F8" s="34">
        <f t="shared" si="2"/>
        <v>0</v>
      </c>
      <c r="G8" s="36" t="s">
        <v>51</v>
      </c>
    </row>
    <row r="9" spans="1:7" ht="14.4">
      <c r="A9" s="4" t="s">
        <v>21</v>
      </c>
      <c r="B9" s="19"/>
      <c r="C9" s="16"/>
      <c r="D9" s="11"/>
      <c r="E9" s="16"/>
      <c r="F9" s="11"/>
    </row>
    <row r="10" spans="1:7" s="29" customFormat="1" ht="14.4">
      <c r="A10" s="32" t="s">
        <v>23</v>
      </c>
      <c r="B10" s="27"/>
      <c r="C10" s="28"/>
      <c r="D10" s="34">
        <f>C10*B10</f>
        <v>0</v>
      </c>
      <c r="E10" s="28"/>
      <c r="F10" s="34">
        <f>E10*B10</f>
        <v>0</v>
      </c>
      <c r="G10" s="36" t="s">
        <v>51</v>
      </c>
    </row>
    <row r="11" spans="1:7" s="29" customFormat="1" ht="14.4">
      <c r="A11" s="32" t="s">
        <v>22</v>
      </c>
      <c r="B11" s="27"/>
      <c r="C11" s="28"/>
      <c r="D11" s="34">
        <f t="shared" ref="D11:D13" si="3">C11*B11</f>
        <v>0</v>
      </c>
      <c r="E11" s="28"/>
      <c r="F11" s="34">
        <f t="shared" ref="F11:F13" si="4">E11*B11</f>
        <v>0</v>
      </c>
      <c r="G11" s="36" t="s">
        <v>51</v>
      </c>
    </row>
    <row r="12" spans="1:7" s="29" customFormat="1" ht="14.4">
      <c r="A12" s="32" t="s">
        <v>24</v>
      </c>
      <c r="B12" s="27"/>
      <c r="C12" s="28"/>
      <c r="D12" s="34">
        <f t="shared" si="3"/>
        <v>0</v>
      </c>
      <c r="E12" s="28"/>
      <c r="F12" s="34">
        <f t="shared" si="4"/>
        <v>0</v>
      </c>
      <c r="G12" s="36" t="s">
        <v>51</v>
      </c>
    </row>
    <row r="13" spans="1:7" s="29" customFormat="1" ht="14.4">
      <c r="A13" s="31" t="s">
        <v>25</v>
      </c>
      <c r="B13" s="27"/>
      <c r="C13" s="28"/>
      <c r="D13" s="34">
        <f t="shared" si="3"/>
        <v>0</v>
      </c>
      <c r="E13" s="28"/>
      <c r="F13" s="34">
        <f t="shared" si="4"/>
        <v>0</v>
      </c>
      <c r="G13" s="36" t="s">
        <v>51</v>
      </c>
    </row>
    <row r="14" spans="1:7" s="29" customFormat="1" ht="14.4">
      <c r="A14" s="31" t="s">
        <v>47</v>
      </c>
      <c r="B14" s="27"/>
      <c r="C14" s="28"/>
      <c r="D14" s="34">
        <f t="shared" ref="D14" si="5">C14*B14</f>
        <v>0</v>
      </c>
      <c r="E14" s="28"/>
      <c r="F14" s="34">
        <f t="shared" ref="F14" si="6">E14*B14</f>
        <v>0</v>
      </c>
      <c r="G14" s="36" t="s">
        <v>51</v>
      </c>
    </row>
    <row r="15" spans="1:7" ht="14.4">
      <c r="A15" s="4" t="s">
        <v>26</v>
      </c>
      <c r="B15" s="19"/>
      <c r="C15" s="16"/>
      <c r="D15" s="11"/>
      <c r="E15" s="16"/>
      <c r="F15" s="11"/>
    </row>
    <row r="16" spans="1:7" ht="13.8">
      <c r="A16" s="32" t="s">
        <v>1</v>
      </c>
      <c r="B16" s="18"/>
      <c r="C16" s="15"/>
      <c r="D16" s="10">
        <f>B16*C16</f>
        <v>0</v>
      </c>
      <c r="E16" s="15"/>
      <c r="F16" s="10">
        <f>E16*B16</f>
        <v>0</v>
      </c>
      <c r="G16" s="37" t="s">
        <v>52</v>
      </c>
    </row>
    <row r="17" spans="1:7" ht="13.8">
      <c r="A17" s="32" t="s">
        <v>44</v>
      </c>
      <c r="B17" s="18"/>
      <c r="C17" s="15"/>
      <c r="D17" s="10">
        <f t="shared" ref="D17:D21" si="7">B17*C17</f>
        <v>0</v>
      </c>
      <c r="E17" s="15"/>
      <c r="F17" s="10">
        <f t="shared" ref="F17:F21" si="8">E17*B17</f>
        <v>0</v>
      </c>
      <c r="G17" s="37" t="s">
        <v>52</v>
      </c>
    </row>
    <row r="18" spans="1:7" ht="13.8">
      <c r="A18" s="32" t="s">
        <v>43</v>
      </c>
      <c r="B18" s="18"/>
      <c r="C18" s="15"/>
      <c r="D18" s="10">
        <f t="shared" si="7"/>
        <v>0</v>
      </c>
      <c r="E18" s="15"/>
      <c r="F18" s="10">
        <f t="shared" si="8"/>
        <v>0</v>
      </c>
      <c r="G18" s="37" t="s">
        <v>52</v>
      </c>
    </row>
    <row r="19" spans="1:7" ht="13.8">
      <c r="A19" s="32" t="s">
        <v>27</v>
      </c>
      <c r="B19" s="18"/>
      <c r="C19" s="15"/>
      <c r="D19" s="10">
        <f t="shared" si="7"/>
        <v>0</v>
      </c>
      <c r="E19" s="15"/>
      <c r="F19" s="10">
        <f t="shared" si="8"/>
        <v>0</v>
      </c>
      <c r="G19" s="37" t="s">
        <v>52</v>
      </c>
    </row>
    <row r="20" spans="1:7" ht="13.8">
      <c r="A20" s="32" t="s">
        <v>38</v>
      </c>
      <c r="B20" s="18"/>
      <c r="C20" s="15"/>
      <c r="D20" s="10">
        <f t="shared" si="7"/>
        <v>0</v>
      </c>
      <c r="E20" s="15"/>
      <c r="F20" s="10">
        <f t="shared" si="8"/>
        <v>0</v>
      </c>
      <c r="G20" s="36" t="s">
        <v>51</v>
      </c>
    </row>
    <row r="21" spans="1:7" ht="13.8">
      <c r="A21" s="32" t="s">
        <v>39</v>
      </c>
      <c r="B21" s="18"/>
      <c r="C21" s="15"/>
      <c r="D21" s="10">
        <f t="shared" si="7"/>
        <v>0</v>
      </c>
      <c r="E21" s="15"/>
      <c r="F21" s="10">
        <f t="shared" si="8"/>
        <v>0</v>
      </c>
      <c r="G21" s="37" t="s">
        <v>52</v>
      </c>
    </row>
    <row r="22" spans="1:7" ht="14.4">
      <c r="A22" s="4" t="s">
        <v>28</v>
      </c>
      <c r="B22" s="19"/>
      <c r="C22" s="16"/>
      <c r="D22" s="11"/>
      <c r="E22" s="16"/>
      <c r="F22" s="11"/>
    </row>
    <row r="23" spans="1:7" ht="13.8">
      <c r="A23" s="8" t="s">
        <v>14</v>
      </c>
      <c r="B23" s="18"/>
      <c r="C23" s="15"/>
      <c r="D23" s="10">
        <f>B23*C23</f>
        <v>0</v>
      </c>
      <c r="E23" s="15"/>
      <c r="F23" s="10">
        <f>E23*B23</f>
        <v>0</v>
      </c>
      <c r="G23" s="36" t="s">
        <v>51</v>
      </c>
    </row>
    <row r="24" spans="1:7" ht="13.8">
      <c r="A24" s="32" t="s">
        <v>9</v>
      </c>
      <c r="B24" s="18"/>
      <c r="C24" s="15"/>
      <c r="D24" s="10">
        <f t="shared" ref="D24:D34" si="9">B24*C24</f>
        <v>0</v>
      </c>
      <c r="E24" s="15"/>
      <c r="F24" s="10">
        <f t="shared" ref="F24:F34" si="10">E24*B24</f>
        <v>0</v>
      </c>
      <c r="G24" s="36" t="s">
        <v>51</v>
      </c>
    </row>
    <row r="25" spans="1:7" ht="13.8">
      <c r="A25" s="8" t="s">
        <v>40</v>
      </c>
      <c r="B25" s="18"/>
      <c r="C25" s="15"/>
      <c r="D25" s="10">
        <f t="shared" si="9"/>
        <v>0</v>
      </c>
      <c r="E25" s="15"/>
      <c r="F25" s="10">
        <f t="shared" si="10"/>
        <v>0</v>
      </c>
      <c r="G25" s="36" t="s">
        <v>51</v>
      </c>
    </row>
    <row r="26" spans="1:7" ht="13.8">
      <c r="A26" s="8" t="s">
        <v>41</v>
      </c>
      <c r="B26" s="18"/>
      <c r="C26" s="15"/>
      <c r="D26" s="10">
        <f t="shared" si="9"/>
        <v>0</v>
      </c>
      <c r="E26" s="15"/>
      <c r="F26" s="10">
        <f t="shared" si="10"/>
        <v>0</v>
      </c>
      <c r="G26" s="36" t="s">
        <v>51</v>
      </c>
    </row>
    <row r="27" spans="1:7" ht="13.8">
      <c r="A27" s="32" t="s">
        <v>31</v>
      </c>
      <c r="B27" s="18"/>
      <c r="C27" s="15"/>
      <c r="D27" s="10">
        <f t="shared" si="9"/>
        <v>0</v>
      </c>
      <c r="E27" s="15"/>
      <c r="F27" s="10">
        <f t="shared" si="10"/>
        <v>0</v>
      </c>
      <c r="G27" s="36" t="s">
        <v>51</v>
      </c>
    </row>
    <row r="28" spans="1:7" ht="16.95" customHeight="1">
      <c r="A28" s="32" t="s">
        <v>32</v>
      </c>
      <c r="B28" s="18"/>
      <c r="C28" s="15"/>
      <c r="D28" s="10">
        <f t="shared" si="9"/>
        <v>0</v>
      </c>
      <c r="E28" s="15"/>
      <c r="F28" s="10">
        <f t="shared" si="10"/>
        <v>0</v>
      </c>
      <c r="G28" s="37" t="s">
        <v>52</v>
      </c>
    </row>
    <row r="29" spans="1:7" ht="13.8">
      <c r="A29" s="32" t="s">
        <v>2</v>
      </c>
      <c r="B29" s="18"/>
      <c r="C29" s="15"/>
      <c r="D29" s="10">
        <f t="shared" si="9"/>
        <v>0</v>
      </c>
      <c r="E29" s="15"/>
      <c r="F29" s="10">
        <f t="shared" si="10"/>
        <v>0</v>
      </c>
      <c r="G29" s="36" t="s">
        <v>51</v>
      </c>
    </row>
    <row r="30" spans="1:7" ht="13.8">
      <c r="A30" s="32" t="s">
        <v>29</v>
      </c>
      <c r="B30" s="18"/>
      <c r="C30" s="15"/>
      <c r="D30" s="10">
        <f t="shared" si="9"/>
        <v>0</v>
      </c>
      <c r="E30" s="15"/>
      <c r="F30" s="10">
        <f t="shared" si="10"/>
        <v>0</v>
      </c>
      <c r="G30" s="37" t="s">
        <v>52</v>
      </c>
    </row>
    <row r="31" spans="1:7" ht="13.8">
      <c r="A31" s="32" t="s">
        <v>30</v>
      </c>
      <c r="B31" s="18"/>
      <c r="C31" s="15"/>
      <c r="D31" s="10">
        <f t="shared" si="9"/>
        <v>0</v>
      </c>
      <c r="E31" s="15"/>
      <c r="F31" s="10">
        <f t="shared" si="10"/>
        <v>0</v>
      </c>
      <c r="G31" s="36" t="s">
        <v>51</v>
      </c>
    </row>
    <row r="32" spans="1:7" ht="13.8">
      <c r="A32" s="8" t="s">
        <v>8</v>
      </c>
      <c r="B32" s="18"/>
      <c r="C32" s="15"/>
      <c r="D32" s="10">
        <f t="shared" si="9"/>
        <v>0</v>
      </c>
      <c r="E32" s="15"/>
      <c r="F32" s="10">
        <f t="shared" si="10"/>
        <v>0</v>
      </c>
      <c r="G32" s="37" t="s">
        <v>52</v>
      </c>
    </row>
    <row r="33" spans="1:8" ht="13.8">
      <c r="A33" s="32" t="s">
        <v>13</v>
      </c>
      <c r="B33" s="18"/>
      <c r="C33" s="15"/>
      <c r="D33" s="10">
        <f t="shared" si="9"/>
        <v>0</v>
      </c>
      <c r="E33" s="15"/>
      <c r="F33" s="10">
        <f t="shared" si="10"/>
        <v>0</v>
      </c>
      <c r="G33" s="37" t="s">
        <v>52</v>
      </c>
    </row>
    <row r="34" spans="1:8" ht="13.8">
      <c r="A34" s="32" t="s">
        <v>42</v>
      </c>
      <c r="B34" s="18"/>
      <c r="C34" s="15"/>
      <c r="D34" s="10">
        <f t="shared" si="9"/>
        <v>0</v>
      </c>
      <c r="E34" s="15"/>
      <c r="F34" s="10">
        <f t="shared" si="10"/>
        <v>0</v>
      </c>
      <c r="G34" s="37" t="s">
        <v>52</v>
      </c>
    </row>
    <row r="35" spans="1:8" ht="14.4">
      <c r="A35" s="4" t="s">
        <v>35</v>
      </c>
      <c r="B35" s="19"/>
      <c r="C35" s="16"/>
      <c r="D35" s="11"/>
      <c r="E35" s="16"/>
      <c r="F35" s="11"/>
    </row>
    <row r="36" spans="1:8" ht="13.8">
      <c r="A36" s="32" t="s">
        <v>37</v>
      </c>
      <c r="B36" s="18"/>
      <c r="C36" s="15"/>
      <c r="D36" s="10">
        <f>B36*C36</f>
        <v>0</v>
      </c>
      <c r="E36" s="15"/>
      <c r="F36" s="10">
        <f>E36*B36</f>
        <v>0</v>
      </c>
      <c r="G36" s="36" t="s">
        <v>51</v>
      </c>
    </row>
    <row r="37" spans="1:8" ht="13.8">
      <c r="A37" s="32" t="s">
        <v>33</v>
      </c>
      <c r="B37" s="18"/>
      <c r="C37" s="15"/>
      <c r="D37" s="10">
        <f t="shared" ref="D37" si="11">B37*C37</f>
        <v>0</v>
      </c>
      <c r="E37" s="15"/>
      <c r="F37" s="10">
        <f t="shared" ref="F37" si="12">E37*B37</f>
        <v>0</v>
      </c>
      <c r="G37" s="36" t="s">
        <v>51</v>
      </c>
    </row>
    <row r="38" spans="1:8" ht="13.8">
      <c r="A38" s="32" t="s">
        <v>34</v>
      </c>
      <c r="B38" s="18"/>
      <c r="C38" s="15"/>
      <c r="D38" s="10">
        <f t="shared" ref="D38" si="13">B38*C38</f>
        <v>0</v>
      </c>
      <c r="E38" s="15"/>
      <c r="F38" s="10">
        <f t="shared" ref="F38" si="14">E38*B38</f>
        <v>0</v>
      </c>
      <c r="G38" s="36" t="s">
        <v>51</v>
      </c>
    </row>
    <row r="39" spans="1:8" ht="13.8">
      <c r="A39" s="5" t="s">
        <v>36</v>
      </c>
      <c r="B39" s="20"/>
      <c r="C39" s="17"/>
      <c r="D39" s="12"/>
      <c r="E39" s="17"/>
      <c r="F39" s="12"/>
    </row>
    <row r="40" spans="1:8" ht="13.8">
      <c r="A40" s="8" t="s">
        <v>46</v>
      </c>
      <c r="B40" s="21"/>
      <c r="C40" s="14"/>
      <c r="D40" s="13">
        <f t="shared" ref="D40:D46" si="15">B40*C40</f>
        <v>0</v>
      </c>
      <c r="E40" s="35"/>
      <c r="F40" s="13">
        <f t="shared" ref="F40:F46" si="16">E40*B40</f>
        <v>0</v>
      </c>
      <c r="G40" s="36" t="s">
        <v>51</v>
      </c>
    </row>
    <row r="41" spans="1:8" ht="13.8">
      <c r="A41" s="8" t="s">
        <v>48</v>
      </c>
      <c r="B41" s="21"/>
      <c r="C41" s="14"/>
      <c r="D41" s="13">
        <f t="shared" si="15"/>
        <v>0</v>
      </c>
      <c r="E41" s="35"/>
      <c r="F41" s="13">
        <f t="shared" si="16"/>
        <v>0</v>
      </c>
      <c r="G41" s="36" t="s">
        <v>51</v>
      </c>
    </row>
    <row r="42" spans="1:8" ht="13.8">
      <c r="A42" s="8" t="s">
        <v>49</v>
      </c>
      <c r="B42" s="21"/>
      <c r="C42" s="14"/>
      <c r="D42" s="13">
        <f t="shared" si="15"/>
        <v>0</v>
      </c>
      <c r="E42" s="35"/>
      <c r="F42" s="13">
        <f t="shared" si="16"/>
        <v>0</v>
      </c>
      <c r="G42" s="37" t="s">
        <v>52</v>
      </c>
    </row>
    <row r="43" spans="1:8" ht="13.8">
      <c r="A43" s="8" t="s">
        <v>45</v>
      </c>
      <c r="B43" s="21"/>
      <c r="C43" s="14"/>
      <c r="D43" s="13">
        <f t="shared" si="15"/>
        <v>0</v>
      </c>
      <c r="E43" s="35"/>
      <c r="F43" s="13">
        <f t="shared" si="16"/>
        <v>0</v>
      </c>
      <c r="G43" s="37" t="s">
        <v>52</v>
      </c>
    </row>
    <row r="44" spans="1:8" ht="13.8">
      <c r="A44" s="8" t="s">
        <v>15</v>
      </c>
      <c r="B44" s="21"/>
      <c r="C44" s="14"/>
      <c r="D44" s="13">
        <f t="shared" si="15"/>
        <v>0</v>
      </c>
      <c r="E44" s="35"/>
      <c r="F44" s="13">
        <f t="shared" si="16"/>
        <v>0</v>
      </c>
      <c r="G44" s="37" t="s">
        <v>52</v>
      </c>
    </row>
    <row r="45" spans="1:8" ht="13.8">
      <c r="A45" s="8" t="s">
        <v>50</v>
      </c>
      <c r="B45" s="21"/>
      <c r="C45" s="14"/>
      <c r="D45" s="13">
        <f t="shared" si="15"/>
        <v>0</v>
      </c>
      <c r="E45" s="35"/>
      <c r="F45" s="13">
        <f t="shared" si="16"/>
        <v>0</v>
      </c>
      <c r="G45" s="37" t="s">
        <v>52</v>
      </c>
    </row>
    <row r="46" spans="1:8" ht="13.8">
      <c r="A46" s="8" t="s">
        <v>16</v>
      </c>
      <c r="B46" s="21"/>
      <c r="C46" s="14"/>
      <c r="D46" s="13">
        <f t="shared" si="15"/>
        <v>0</v>
      </c>
      <c r="E46" s="35"/>
      <c r="F46" s="13">
        <f t="shared" si="16"/>
        <v>0</v>
      </c>
      <c r="G46" s="37" t="s">
        <v>52</v>
      </c>
    </row>
    <row r="47" spans="1:8" ht="36" customHeight="1">
      <c r="B47" s="23"/>
      <c r="C47" s="23"/>
      <c r="D47" s="23">
        <f>SUM(D4:D46)</f>
        <v>0</v>
      </c>
      <c r="E47" s="23"/>
      <c r="F47" s="23">
        <f>SUM(F4:F46)</f>
        <v>0</v>
      </c>
      <c r="H47" s="33"/>
    </row>
    <row r="48" spans="1:8" s="1" customFormat="1" ht="19.95" customHeight="1">
      <c r="A48" s="2"/>
      <c r="B48" s="9"/>
      <c r="C48" s="9"/>
      <c r="D48" s="9"/>
      <c r="E48" s="2"/>
      <c r="F48" s="3"/>
    </row>
    <row r="50" spans="1:6" s="1" customFormat="1" ht="13.95" customHeight="1">
      <c r="A50" s="46"/>
      <c r="B50" s="46"/>
      <c r="C50" s="46"/>
      <c r="D50" s="46"/>
      <c r="E50" s="46"/>
      <c r="F50" s="22"/>
    </row>
    <row r="51" spans="1:6" s="1" customFormat="1" ht="13.95" customHeight="1">
      <c r="A51" s="46"/>
      <c r="B51" s="46"/>
      <c r="C51" s="46"/>
      <c r="D51" s="46"/>
      <c r="E51" s="46"/>
      <c r="F51" s="22"/>
    </row>
    <row r="52" spans="1:6" s="1" customFormat="1" ht="13.95" customHeight="1">
      <c r="A52" s="46"/>
      <c r="B52" s="46"/>
      <c r="C52" s="46"/>
      <c r="D52" s="46"/>
      <c r="E52" s="46"/>
      <c r="F52" s="22"/>
    </row>
    <row r="53" spans="1:6" s="1" customFormat="1" ht="13.95" customHeight="1">
      <c r="A53" s="46"/>
      <c r="B53" s="46"/>
      <c r="C53" s="46"/>
      <c r="D53" s="46"/>
      <c r="E53" s="46"/>
      <c r="F53" s="22"/>
    </row>
    <row r="54" spans="1:6" s="1" customFormat="1" ht="13.95" customHeight="1">
      <c r="A54" s="46"/>
      <c r="B54" s="46"/>
      <c r="C54" s="46"/>
      <c r="D54" s="46"/>
      <c r="E54" s="46"/>
      <c r="F54" s="22"/>
    </row>
    <row r="55" spans="1:6" s="1" customFormat="1" ht="13.95" customHeight="1">
      <c r="A55" s="46"/>
      <c r="B55" s="46"/>
      <c r="C55" s="46"/>
      <c r="D55" s="46"/>
      <c r="E55" s="46"/>
      <c r="F55" s="22"/>
    </row>
    <row r="56" spans="1:6" ht="13.95" customHeight="1">
      <c r="A56" s="38"/>
      <c r="B56" s="38"/>
      <c r="C56" s="38"/>
      <c r="D56" s="38"/>
      <c r="E56" s="38"/>
    </row>
  </sheetData>
  <mergeCells count="12">
    <mergeCell ref="A56:E56"/>
    <mergeCell ref="A1:F1"/>
    <mergeCell ref="C2:D2"/>
    <mergeCell ref="E2:F2"/>
    <mergeCell ref="A2:A3"/>
    <mergeCell ref="A50:E50"/>
    <mergeCell ref="A4:F4"/>
    <mergeCell ref="A51:E51"/>
    <mergeCell ref="A52:E52"/>
    <mergeCell ref="A53:E53"/>
    <mergeCell ref="A54:E54"/>
    <mergeCell ref="A55:E55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BE1AD0-B457-DE4B-8A45-EEAB876FFADF}">
          <x14:formula1>
            <xm:f>D.V!$A$1:$A$5</xm:f>
          </x14:formula1>
          <xm:sqref>E5:E46 B5:C46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3CFB-5C35-CE42-9E80-0529240D2483}">
  <dimension ref="A1:B5"/>
  <sheetViews>
    <sheetView workbookViewId="0">
      <selection activeCell="B9" sqref="B9"/>
    </sheetView>
  </sheetViews>
  <sheetFormatPr defaultColWidth="11.5546875" defaultRowHeight="13.2"/>
  <cols>
    <col min="1" max="1" width="13.33203125" customWidth="1"/>
  </cols>
  <sheetData>
    <row r="1" spans="1:2">
      <c r="A1">
        <v>1</v>
      </c>
      <c r="B1">
        <v>0</v>
      </c>
    </row>
    <row r="2" spans="1:2">
      <c r="A2">
        <v>2</v>
      </c>
      <c r="B2">
        <v>1</v>
      </c>
    </row>
    <row r="3" spans="1:2">
      <c r="A3">
        <v>3</v>
      </c>
      <c r="B3">
        <v>2</v>
      </c>
    </row>
    <row r="4" spans="1:2">
      <c r="A4">
        <v>4</v>
      </c>
    </row>
    <row r="5" spans="1:2">
      <c r="A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Scorecard</vt:lpstr>
      <vt:lpstr>D.V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2025-10-10T08:30:53Z</dcterms:created>
  <dcterms:modified xsi:type="dcterms:W3CDTF">2026-01-28T20:06:39Z</dcterms:modified>
</cp:coreProperties>
</file>